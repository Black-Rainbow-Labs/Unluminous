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task-2338\crates\unluminous-sheet\tests\fixtures\"/>
    </mc:Choice>
  </mc:AlternateContent>
  <xr:revisionPtr revIDLastSave="0" documentId="8_{147DC3A4-C577-4176-B06F-5DC2989BD4E1}" xr6:coauthVersionLast="47" xr6:coauthVersionMax="47" xr10:uidLastSave="{00000000-0000-0000-0000-000000000000}"/>
  <bookViews>
    <workbookView xWindow="1875" yWindow="6660" windowWidth="43200" windowHeight="23445" xr2:uid="{584A9A93-FBDE-453D-A08D-8D5862A5D008}"/>
  </bookViews>
  <sheets>
    <sheet name="Data" sheetId="1" r:id="rId1"/>
    <sheet name="Summary" sheetId="2" r:id="rId2"/>
    <sheet name="Hidden" sheetId="3" state="hidden" r:id="rId3"/>
  </sheets>
  <definedNames>
    <definedName name="TaxRate">0.2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2" l="1"/>
  <c r="B3" i="2"/>
  <c r="B2" i="2"/>
  <c r="B1" i="2"/>
  <c r="M6" i="1"/>
  <c r="M5" i="1"/>
  <c r="M4" i="1"/>
  <c r="M3" i="1"/>
  <c r="M2" i="1"/>
  <c r="L2" i="1" a="1"/>
  <c r="K2" i="1"/>
  <c r="I2" i="1" a="1"/>
  <c r="H2" i="1" a="1"/>
  <c r="G2" i="1" a="1"/>
  <c r="E8" i="1"/>
  <c r="E3" i="1"/>
  <c r="E4" i="1"/>
  <c r="E5" i="1"/>
  <c r="E6" i="1"/>
  <c r="E7" i="1"/>
  <c r="E2" i="1"/>
  <c r="L2" i="1" l="1"/>
  <c r="L3" i="1"/>
  <c r="L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Oracle</author>
  </authors>
  <commentList>
    <comment ref="A2" authorId="0" shapeId="0" xr:uid="{2BEF9687-A9DC-4F45-BF29-17C19F0AC7EE}">
      <text>
        <r>
          <rPr>
            <b/>
            <sz val="9"/>
            <color indexed="81"/>
            <rFont val="Tahoma"/>
            <family val="2"/>
          </rPr>
          <t>Picked in October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<sst xmlns="http://schemas.openxmlformats.org/spreadsheetml/2006/main" count="38" uniqueCount="33">
  <si>
    <t>Item</t>
  </si>
  <si>
    <t>Region</t>
  </si>
  <si>
    <t>Units</t>
  </si>
  <si>
    <t>Price</t>
  </si>
  <si>
    <t>Apples</t>
  </si>
  <si>
    <t>North</t>
  </si>
  <si>
    <t>Pears</t>
  </si>
  <si>
    <t>South</t>
  </si>
  <si>
    <t>Plums</t>
  </si>
  <si>
    <t>Figs</t>
  </si>
  <si>
    <t>East</t>
  </si>
  <si>
    <t>Kiwis</t>
  </si>
  <si>
    <t>Limes</t>
  </si>
  <si>
    <t>Total</t>
  </si>
  <si>
    <t>Sum</t>
  </si>
  <si>
    <t>Regions</t>
  </si>
  <si>
    <t>Big orders</t>
  </si>
  <si>
    <t>Seq</t>
  </si>
  <si>
    <t>Pick a region</t>
  </si>
  <si>
    <t>Fruit site</t>
  </si>
  <si>
    <t>Go to summary</t>
  </si>
  <si>
    <t>Merged title</t>
  </si>
  <si>
    <t>hidden row</t>
  </si>
  <si>
    <t>North units</t>
  </si>
  <si>
    <t>Average price</t>
  </si>
  <si>
    <t>Text</t>
  </si>
  <si>
    <t>Line one
Line two</t>
  </si>
  <si>
    <t>Logical</t>
  </si>
  <si>
    <t>Error</t>
  </si>
  <si>
    <t>Italic red</t>
  </si>
  <si>
    <t>Leading apostrophe</t>
  </si>
  <si>
    <t>=not a formula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</si>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</sst>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yyyy\-mm\-dd\ h:mm"/>
    <numFmt numFmtId="166" formatCode="0.0%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i/>
      <sz val="11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0" fillId="0" borderId="0" xfId="0" applyBorder="1"/>
    <xf numFmtId="164" fontId="0" fillId="0" borderId="0" xfId="0" applyNumberFormat="1" applyBorder="1"/>
    <xf numFmtId="165" fontId="0" fillId="0" borderId="0" xfId="0" applyNumberFormat="1"/>
    <xf numFmtId="166" fontId="0" fillId="0" borderId="0" xfId="0" applyNumberFormat="1"/>
    <xf numFmtId="0" fontId="3" fillId="0" borderId="0" xfId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0" xfId="0" applyFont="1"/>
    <xf numFmtId="49" fontId="0" fillId="0" borderId="0" xfId="0" applyNumberFormat="1"/>
    <xf numFmtId="0" fontId="0" fillId="0" borderId="0" xfId="0" quotePrefix="1"/>
  </cellXfs>
  <cellStyles count="2">
    <cellStyle name="Hyperlink" xfId="1" builtinId="8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rgb="FFF2E1D9"/>
        </patternFill>
      </fill>
    </dxf>
    <dxf>
      <numFmt numFmtId="164" formatCode="&quot;$&quot;#,##0.00"/>
    </dxf>
    <dxf>
      <numFmt numFmtId="164" formatCode="&quot;$&quot;#,##0.00"/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by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Data!$A$2:$A$7</c:f>
              <c:strCache>
                <c:ptCount val="6"/>
                <c:pt idx="0">
                  <c:v>Apples</c:v>
                </c:pt>
                <c:pt idx="1">
                  <c:v>Pears</c:v>
                </c:pt>
                <c:pt idx="2">
                  <c:v>Plums</c:v>
                </c:pt>
                <c:pt idx="3">
                  <c:v>Figs</c:v>
                </c:pt>
                <c:pt idx="4">
                  <c:v>Kiwis</c:v>
                </c:pt>
                <c:pt idx="5">
                  <c:v>Limes</c:v>
                </c:pt>
              </c:strCache>
            </c:strRef>
          </c:cat>
          <c:val>
            <c:numRef>
              <c:f>Data!$C$2:$C$7</c:f>
              <c:numCache>
                <c:formatCode>General</c:formatCode>
                <c:ptCount val="6"/>
                <c:pt idx="0">
                  <c:v>120</c:v>
                </c:pt>
                <c:pt idx="1">
                  <c:v>80</c:v>
                </c:pt>
                <c:pt idx="2">
                  <c:v>45</c:v>
                </c:pt>
                <c:pt idx="3">
                  <c:v>30</c:v>
                </c:pt>
                <c:pt idx="4">
                  <c:v>200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F-4B49-9C2D-BF622DB2F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9166927"/>
        <c:axId val="1609167407"/>
      </c:barChart>
      <c:catAx>
        <c:axId val="160916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167407"/>
        <c:crosses val="autoZero"/>
        <c:auto val="1"/>
        <c:lblAlgn val="ctr"/>
        <c:lblOffset val="100"/>
        <c:noMultiLvlLbl val="0"/>
      </c:catAx>
      <c:valAx>
        <c:axId val="160916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16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527050</xdr:colOff>
      <xdr:row>13</xdr:row>
      <xdr:rowOff>177800</xdr:rowOff>
    </xdr:from>
    <xdr:to>
      <xdr:col>12</xdr:col>
      <xdr:colOff>984250</xdr:colOff>
      <xdr:row>30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C0E0EF-D30E-B97E-E126-FCD754B03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609E6-A6DC-4102-85C6-80F741711379}" name="Fruit" displayName="Fruit" ref="A1:E7" totalsRowShown="0" headerRowDxfId="1" tableBorderDxfId="4">
  <autoFilter ref="A1:E7" xr:uid="{D88609E6-A6DC-4102-85C6-80F741711379}"/>
  <tableColumns count="5">
    <tableColumn id="1" xr3:uid="{E2BD15E1-746F-4477-A7F3-0E82BF7788ED}" name="Item"/>
    <tableColumn id="2" xr3:uid="{A2955442-BBEA-47AE-B8D6-F0158AE08BD0}" name="Region"/>
    <tableColumn id="3" xr3:uid="{3A3ACCDF-B94D-4531-B1A7-138BFC0E35F3}" name="Units"/>
    <tableColumn id="4" xr3:uid="{B5A0B174-7336-4279-8771-B4A9A0682F27}" name="Price" dataDxfId="3"/>
    <tableColumn id="5" xr3:uid="{04144C09-9A08-4C50-B6C8-CE7F8DF23480}" name="Total" dataDxfId="2">
      <calculatedColumnFormula>C2*D2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example.com/fruit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D373F-7C7A-4651-BE6C-84D3DD8EC60D}">
  <sheetPr>
    <tabColor rgb="FFFFC000"/>
  </sheetPr>
  <dimension ref="A1:M16"/>
  <sheetViews>
    <sheetView tabSelected="1" workbookViewId="0">
      <pane ySplit="1" topLeftCell="A2" activePane="bottomLeft" state="frozenSplit"/>
      <selection pane="bottomLeft"/>
    </sheetView>
  </sheetViews>
  <sheetFormatPr defaultRowHeight="14.25"/>
  <cols>
    <col min="1" max="1" width="14.625" customWidth="1"/>
    <col min="2" max="2" width="9.125" customWidth="1"/>
    <col min="13" max="13" width="15.25" bestFit="1" customWidth="1"/>
  </cols>
  <sheetData>
    <row r="1" spans="1:13" ht="15">
      <c r="A1" s="2" t="s">
        <v>0</v>
      </c>
      <c r="B1" s="2" t="s">
        <v>1</v>
      </c>
      <c r="C1" s="2" t="s">
        <v>2</v>
      </c>
      <c r="D1" s="2" t="s">
        <v>3</v>
      </c>
      <c r="E1" s="2" t="s">
        <v>13</v>
      </c>
      <c r="G1" t="s">
        <v>15</v>
      </c>
      <c r="H1" t="s">
        <v>16</v>
      </c>
      <c r="I1" t="s">
        <v>17</v>
      </c>
    </row>
    <row r="2" spans="1:13">
      <c r="A2" t="s">
        <v>4</v>
      </c>
      <c r="B2" t="s">
        <v>5</v>
      </c>
      <c r="C2">
        <v>120</v>
      </c>
      <c r="D2" s="1">
        <v>0.5</v>
      </c>
      <c r="E2" s="1">
        <f>C2*D2</f>
        <v>60</v>
      </c>
      <c r="G2" t="str" cm="1">
        <f t="array" ref="G2:G4">_xlfn._xlws.SORT(_xlfn.UNIQUE(B2:B7))</f>
        <v>East</v>
      </c>
      <c r="H2" t="str" cm="1">
        <f t="array" ref="H2:H4">_xlfn._xlws.FILTER(A2:A7,C2:C7&gt;100,"none")</f>
        <v>Apples</v>
      </c>
      <c r="I2" cm="1">
        <f t="array" ref="I2:J4">_xlfn.SEQUENCE(3,2,10,5)</f>
        <v>10</v>
      </c>
      <c r="J2">
        <v>15</v>
      </c>
      <c r="K2">
        <f>SUM(_xlfn.ANCHORARRAY(I2))</f>
        <v>135</v>
      </c>
      <c r="L2">
        <f t="array" ref="L2:L4">C2:C4*2</f>
        <v>240</v>
      </c>
      <c r="M2">
        <f>SUM(Fruit[Units])</f>
        <v>625</v>
      </c>
    </row>
    <row r="3" spans="1:13">
      <c r="A3" t="s">
        <v>6</v>
      </c>
      <c r="B3" t="s">
        <v>7</v>
      </c>
      <c r="C3">
        <v>80</v>
      </c>
      <c r="D3" s="1">
        <v>0.75</v>
      </c>
      <c r="E3" s="1">
        <f t="shared" ref="E3:E7" si="0">C3*D3</f>
        <v>60</v>
      </c>
      <c r="G3" t="str">
        <v>North</v>
      </c>
      <c r="H3" t="str">
        <v>Kiwis</v>
      </c>
      <c r="I3">
        <v>20</v>
      </c>
      <c r="J3">
        <v>25</v>
      </c>
      <c r="L3">
        <v>160</v>
      </c>
      <c r="M3">
        <f>E8*TaxRate</f>
        <v>74.8</v>
      </c>
    </row>
    <row r="4" spans="1:13">
      <c r="A4" t="s">
        <v>8</v>
      </c>
      <c r="B4" t="s">
        <v>5</v>
      </c>
      <c r="C4">
        <v>45</v>
      </c>
      <c r="D4" s="1">
        <v>1.2</v>
      </c>
      <c r="E4" s="1">
        <f t="shared" si="0"/>
        <v>54</v>
      </c>
      <c r="G4" t="str">
        <v>South</v>
      </c>
      <c r="H4" t="str">
        <v>Limes</v>
      </c>
      <c r="I4">
        <v>30</v>
      </c>
      <c r="J4">
        <v>35</v>
      </c>
      <c r="L4">
        <v>90</v>
      </c>
      <c r="M4">
        <f>_xlfn.XLOOKUP("Figs",A2:A7,C2:C7)</f>
        <v>30</v>
      </c>
    </row>
    <row r="5" spans="1:13">
      <c r="A5" t="s">
        <v>9</v>
      </c>
      <c r="B5" t="s">
        <v>10</v>
      </c>
      <c r="C5">
        <v>30</v>
      </c>
      <c r="D5" s="1">
        <v>2.5</v>
      </c>
      <c r="E5" s="1">
        <f t="shared" si="0"/>
        <v>75</v>
      </c>
      <c r="M5">
        <f>_xlfn.LET(_xlpm.x,C2:C7,AVERAGE(_xlpm.x))</f>
        <v>104.16666666666667</v>
      </c>
    </row>
    <row r="6" spans="1:13">
      <c r="A6" t="s">
        <v>11</v>
      </c>
      <c r="B6" t="s">
        <v>7</v>
      </c>
      <c r="C6">
        <v>200</v>
      </c>
      <c r="D6" s="1">
        <v>0.4</v>
      </c>
      <c r="E6" s="1">
        <f t="shared" si="0"/>
        <v>80</v>
      </c>
      <c r="M6" t="str">
        <f>TEXT(DATE(2026,10,23),"dddd")</f>
        <v>Friday</v>
      </c>
    </row>
    <row r="7" spans="1:13">
      <c r="A7" t="s">
        <v>12</v>
      </c>
      <c r="B7" t="s">
        <v>10</v>
      </c>
      <c r="C7">
        <v>150</v>
      </c>
      <c r="D7" s="1">
        <v>0.3</v>
      </c>
      <c r="E7" s="1">
        <f t="shared" si="0"/>
        <v>45</v>
      </c>
      <c r="M7" s="5">
        <v>46318.75</v>
      </c>
    </row>
    <row r="8" spans="1:13">
      <c r="A8" s="3" t="s">
        <v>14</v>
      </c>
      <c r="B8" s="3"/>
      <c r="C8" s="3"/>
      <c r="D8" s="4"/>
      <c r="E8" s="4">
        <f>SUM(E2:E7)</f>
        <v>374</v>
      </c>
      <c r="M8" s="6">
        <v>0.25600000000000001</v>
      </c>
    </row>
    <row r="10" spans="1:13">
      <c r="A10" t="s">
        <v>18</v>
      </c>
      <c r="B10" t="s">
        <v>5</v>
      </c>
    </row>
    <row r="12" spans="1:13">
      <c r="A12" s="7" t="s">
        <v>19</v>
      </c>
    </row>
    <row r="13" spans="1:13">
      <c r="A13" s="7" t="s">
        <v>20</v>
      </c>
    </row>
    <row r="15" spans="1:13">
      <c r="A15" s="8" t="s">
        <v>21</v>
      </c>
      <c r="B15" s="8"/>
      <c r="C15" s="8"/>
    </row>
    <row r="16" spans="1:13" hidden="1">
      <c r="A16" t="s">
        <v>22</v>
      </c>
    </row>
  </sheetData>
  <mergeCells count="1">
    <mergeCell ref="A15:C15"/>
  </mergeCells>
  <conditionalFormatting sqref="C2:C7">
    <cfRule type="cellIs" dxfId="0" priority="1" stopIfTrue="1" operator="greaterThan">
      <formula>100</formula>
    </cfRule>
    <cfRule type="iconSet" priority="4">
      <iconSet>
        <cfvo type="percent" val="0"/>
        <cfvo type="percent" val="33"/>
        <cfvo type="percent" val="67"/>
      </iconSet>
    </cfRule>
  </conditionalFormatting>
  <conditionalFormatting sqref="D2:D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{8161E146-31B7-4F33-A8C7-5E2FE163E91E}</x14:id>
        </ext>
      </extLst>
    </cfRule>
  </conditionalFormatting>
  <dataValidations count="1">
    <dataValidation type="list" allowBlank="1" showInputMessage="1" showErrorMessage="1" sqref="B10" xr:uid="{87913680-5485-4DDF-8F51-1328E3B0C8C0}">
      <formula1>"North,South,East,West"</formula1>
    </dataValidation>
  </dataValidations>
  <hyperlinks>
    <hyperlink ref="A12" r:id="rId1" tooltip="The fruit site" xr:uid="{D48F244B-2DFA-4269-89A5-5BA1A79B18FE}"/>
    <hyperlink ref="A13" location="'Summary'!A1" display="Go to summary" xr:uid="{F8324896-94AB-41BF-86CE-2A7FAACA4EA1}"/>
  </hyperlinks>
  <pageMargins left="0.7" right="0.7" top="0.75" bottom="0.75" header="0.3" footer="0.3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61E146-31B7-4F33-A8C7-5E2FE163E91E}">
            <x14:dataBar minLength="0" maxLength="100" negativeBarColorSameAsPositive="1" axisPosition="none">
              <x14:cfvo type="min"/>
              <x14:cfvo type="max"/>
            </x14:dataBar>
          </x14:cfRule>
          <xm:sqref>E2:E7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CE2E-14DA-4896-BC9C-AD4607928648}">
  <dimension ref="A1:B8"/>
  <sheetViews>
    <sheetView workbookViewId="0"/>
  </sheetViews>
  <sheetFormatPr defaultRowHeight="14.25"/>
  <sheetData>
    <row r="1" spans="1:2">
      <c r="A1" t="s">
        <v>2</v>
      </c>
      <c r="B1">
        <f>SUM(Data!C2:C7)</f>
        <v>625</v>
      </c>
    </row>
    <row r="2" spans="1:2">
      <c r="A2" t="s">
        <v>23</v>
      </c>
      <c r="B2">
        <f>SUMIF(Data!B2:B7,"North",Data!C2:C7)</f>
        <v>165</v>
      </c>
    </row>
    <row r="3" spans="1:2">
      <c r="A3" t="s">
        <v>24</v>
      </c>
      <c r="B3">
        <f>AVERAGE(Data!D2:D7)</f>
        <v>0.94166666666666676</v>
      </c>
    </row>
    <row r="4" spans="1:2" ht="28.5">
      <c r="A4" t="s">
        <v>25</v>
      </c>
      <c r="B4" s="9" t="s">
        <v>26</v>
      </c>
    </row>
    <row r="5" spans="1:2">
      <c r="A5" t="s">
        <v>27</v>
      </c>
      <c r="B5" t="b">
        <v>1</v>
      </c>
    </row>
    <row r="6" spans="1:2">
      <c r="A6" t="s">
        <v>28</v>
      </c>
      <c r="B6" t="e">
        <f>1/0</f>
        <v>#DIV/0!</v>
      </c>
    </row>
    <row r="7" spans="1:2">
      <c r="A7" s="10" t="s">
        <v>29</v>
      </c>
      <c r="B7" s="11">
        <v>12</v>
      </c>
    </row>
    <row r="8" spans="1:2">
      <c r="A8" t="s">
        <v>30</v>
      </c>
      <c r="B8" s="1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F74E-0DE4-40A2-B3EE-6F0356BEAF1F}">
  <dimension ref="A1"/>
  <sheetViews>
    <sheetView workbookViewId="0"/>
  </sheetViews>
  <sheetFormatPr defaultRowHeight="14.25"/>
  <sheetData>
    <row r="1" spans="1:1">
      <c r="A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Hidden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2026-10-23T22:36:22Z</dcterms:created>
  <dcterms:modified xsi:type="dcterms:W3CDTF">2026-10-23T22:36:23Z</dcterms:modified>
</cp:coreProperties>
</file>