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<sst xmlns="http://schemas.openxmlformats.org/spreadsheetml/2006/main" count="62" uniqueCount="62">
  <si>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</si>
  <si>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</si>
  <si>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</si>
  <si>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</si>
  <si>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</si>
  <si>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</si>
  <si>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</si>
  <si>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</si>
  <si>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</si>
  <si>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</si>
  <si>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</si>
  <si>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</si>
  <si>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</si>
  <si>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</si>
  <si>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</si>
  <si>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</si>
  <si>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</si>
  <si>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</si>
  <si>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</si>
  <si>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</si>
  <si>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</si>
  <si>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</si>
  <si>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</si>
  <si>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</si>
  <si>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</si>
  <si>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</si>
  <si>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</si>
  <si>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</si>
  <si>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</si>
  <si>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</si>
  <si>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</si>
  <si>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</si>
  <si>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</si>
  <si>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</si>
  <si>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</si>
  <si>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</si>
  <si>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</si>
  <si>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</si>
  <si>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</si>
  <si>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</si>
  <si>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</si>
  <si>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</si>
  <si>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</si>
  <si>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</si>
  <si>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</si>
  <si>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</si>
  <si>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</si>
  <si>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</si>
  <si>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</si>
  <si>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</si>
  <si>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</si>
  <si>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</si>
  <si>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</si>
  <si>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</si>
  <si>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</si>
  <si>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</si>
  <si>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</si>
  <si>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Qtr1</t>
  </si>
  <si>
    <t>Qtr2</t>
  </si>
  <si>
    <t>Qtr3</t>
  </si>
  <si>
    <t>Qtr4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</si>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</sst>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8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 count="24">
        <d v="2024-01-01T00:00:00"/>
        <d v="2024-01-30T00:00:00"/>
        <d v="2024-02-28T00:00:00"/>
        <d v="2024-03-28T00:00:00"/>
        <d v="2024-04-26T00:00:00"/>
        <d v="2024-05-25T00:00:00"/>
        <d v="2024-06-23T00:00:00"/>
        <d v="2024-07-22T00:00:00"/>
        <d v="2024-08-20T00:00:00"/>
        <d v="2024-09-18T00:00:00"/>
        <d v="2024-10-17T00:00:00"/>
        <d v="2024-11-15T00:00:00"/>
        <d v="2024-12-14T00:00:00"/>
        <d v="2025-01-12T00:00:00"/>
        <d v="2025-02-10T00:00:00"/>
        <d v="2024-01-16T00:00:00"/>
        <d v="2024-02-14T00:00:00"/>
        <d v="2024-03-14T00:00:00"/>
        <d v="2024-04-12T00:00:00"/>
        <d v="2024-05-11T00:00:00"/>
        <d v="2024-06-09T00:00:00"/>
        <d v="2024-07-08T00:00:00"/>
        <d v="2024-08-06T00:00:00"/>
        <d v="2024-09-04T00:00:00"/>
      </sharedItems>
      <fieldGroup par="7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Quarters (Date)" numFmtId="0" databaseField="0">
      <fieldGroup base="3">
        <rangePr groupBy="quarters" startDate="2024-01-01T00:00:00" endDate="2025-02-11T00:00:00"/>
        <groupItems count="6">
          <s v="&lt;1/1/2024"/>
          <s v="Qtr1"/>
          <s v="Qtr2"/>
          <s v="Qtr3"/>
          <s v="Qtr4"/>
          <s v="&gt;2/11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  <n v="120"/>
    <n v="0.5"/>
    <n v="60"/>
  </r>
  <r>
    <x v="1"/>
    <x v="1"/>
    <x v="0"/>
    <x v="1"/>
    <n v="80"/>
    <n v="0.75"/>
    <n v="60"/>
  </r>
  <r>
    <x v="2"/>
    <x v="2"/>
    <x v="1"/>
    <x v="2"/>
    <n v="45"/>
    <n v="1.2"/>
    <n v="54"/>
  </r>
  <r>
    <x v="3"/>
    <x v="3"/>
    <x v="1"/>
    <x v="3"/>
    <n v="30"/>
    <n v="2.5"/>
    <n v="75"/>
  </r>
  <r>
    <x v="0"/>
    <x v="3"/>
    <x v="0"/>
    <x v="4"/>
    <n v="200"/>
    <n v="0.4"/>
    <n v="80"/>
  </r>
  <r>
    <x v="4"/>
    <x v="0"/>
    <x v="0"/>
    <x v="5"/>
    <n v="150"/>
    <n v="0.3"/>
    <n v="45"/>
  </r>
  <r>
    <x v="2"/>
    <x v="1"/>
    <x v="1"/>
    <x v="6"/>
    <n v="15"/>
    <n v="3.1"/>
    <n v="46.5"/>
  </r>
  <r>
    <x v="3"/>
    <x v="2"/>
    <x v="1"/>
    <x v="7"/>
    <n v="60"/>
    <n v="1.9"/>
    <n v="114"/>
  </r>
  <r>
    <x v="0"/>
    <x v="2"/>
    <x v="0"/>
    <x v="8"/>
    <n v="95"/>
    <n v="0.5"/>
    <n v="47.5"/>
  </r>
  <r>
    <x v="1"/>
    <x v="3"/>
    <x v="0"/>
    <x v="9"/>
    <n v="10"/>
    <n v="0.75"/>
    <n v="7.5"/>
  </r>
  <r>
    <x v="2"/>
    <x v="0"/>
    <x v="1"/>
    <x v="10"/>
    <n v="70"/>
    <n v="1.2"/>
    <n v="84"/>
  </r>
  <r>
    <x v="3"/>
    <x v="1"/>
    <x v="1"/>
    <x v="11"/>
    <m/>
    <n v="2.5"/>
    <m/>
  </r>
  <r>
    <x v="0"/>
    <x v="1"/>
    <x v="0"/>
    <x v="12"/>
    <n v="125"/>
    <n v="0.4"/>
    <n v="50"/>
  </r>
  <r>
    <x v="1"/>
    <x v="2"/>
    <x v="0"/>
    <x v="13"/>
    <n v="85"/>
    <n v="0.3"/>
    <n v="25.5"/>
  </r>
  <r>
    <x v="2"/>
    <x v="3"/>
    <x v="1"/>
    <x v="14"/>
    <n v="50"/>
    <n v="3.1"/>
    <n v="155"/>
  </r>
  <r>
    <x v="3"/>
    <x v="0"/>
    <x v="1"/>
    <x v="15"/>
    <n v="35"/>
    <n v="1.9"/>
    <n v="66.5"/>
  </r>
  <r>
    <x v="0"/>
    <x v="0"/>
    <x v="0"/>
    <x v="16"/>
    <n v="205"/>
    <n v="0.5"/>
    <n v="102.5"/>
  </r>
  <r>
    <x v="1"/>
    <x v="1"/>
    <x v="0"/>
    <x v="17"/>
    <n v="155"/>
    <n v="0.75"/>
    <n v="116.25"/>
  </r>
  <r>
    <x v="2"/>
    <x v="2"/>
    <x v="1"/>
    <x v="18"/>
    <n v="20"/>
    <n v="1.2"/>
    <n v="24"/>
  </r>
  <r>
    <x v="3"/>
    <x v="3"/>
    <x v="1"/>
    <x v="19"/>
    <n v="65"/>
    <n v="2.5"/>
    <n v="162.5"/>
  </r>
  <r>
    <x v="0"/>
    <x v="3"/>
    <x v="0"/>
    <x v="20"/>
    <n v="100"/>
    <n v="0.4"/>
    <n v="40"/>
  </r>
  <r>
    <x v="1"/>
    <x v="0"/>
    <x v="0"/>
    <x v="21"/>
    <n v="15"/>
    <n v="0.3"/>
    <n v="4.5"/>
  </r>
  <r>
    <x v="2"/>
    <x v="1"/>
    <x v="1"/>
    <x v="22"/>
    <n v="75"/>
    <n v="3.1"/>
    <n v="232.5"/>
  </r>
  <r>
    <x v="3"/>
    <x v="2"/>
    <x v="1"/>
    <x v="23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1" firstHeaderRow="1" firstDataRow="1" firstDataCol="1"/>
  <pivotFields count="8">
    <pivotField showAll="0"/>
    <pivotField showAll="0"/>
    <pivotField showAll="0"/>
    <pivotField numFmtId="14" showAll="0">
      <items count="25">
        <item x="0"/>
        <item x="15"/>
        <item x="1"/>
        <item x="16"/>
        <item x="2"/>
        <item x="17"/>
        <item x="3"/>
        <item x="18"/>
        <item x="4"/>
        <item x="19"/>
        <item x="5"/>
        <item x="20"/>
        <item x="6"/>
        <item x="21"/>
        <item x="7"/>
        <item x="22"/>
        <item x="8"/>
        <item x="23"/>
        <item x="9"/>
        <item x="10"/>
        <item x="11"/>
        <item x="12"/>
        <item x="13"/>
        <item x="14"/>
        <item t="default"/>
      </items>
    </pivotField>
    <pivotField dataField="1"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6:B1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>
        <v>805</v>
      </c>
    </row>
    <row r="8">
      <c r="A8" t="s">
        <v>58</v>
      </c>
      <c r="B8">
        <v>550</v>
      </c>
    </row>
    <row r="9">
      <c r="A9" t="s">
        <v>59</v>
      </c>
      <c r="B9">
        <v>293</v>
      </c>
    </row>
    <row r="10">
      <c r="A10" t="s">
        <v>60</v>
      </c>
      <c r="B10">
        <v>195</v>
      </c>
    </row>
    <row r="11">
      <c r="A11" t="s">
        <v>61</v>
      </c>
      <c r="B11">
        <v>1843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