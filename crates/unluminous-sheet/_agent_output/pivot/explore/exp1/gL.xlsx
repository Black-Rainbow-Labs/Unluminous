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<sst xmlns="http://schemas.openxmlformats.org/spreadsheetml/2006/main" count="61" uniqueCount="61">
  <si>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</si>
  <si>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</si>
  <si>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</si>
  <si>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</si>
  <si>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</si>
  <si>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</si>
  <si>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</si>
  <si>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</si>
  <si>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</si>
  <si>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</si>
  <si>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</si>
  <si>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</si>
  <si>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</si>
  <si>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</si>
  <si>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</si>
  <si>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</si>
  <si>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</si>
  <si>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</si>
  <si>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</si>
  <si>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</si>
  <si>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</si>
  <si>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</si>
  <si>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</si>
  <si>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</si>
  <si>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</si>
  <si>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</si>
  <si>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</si>
  <si>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</si>
  <si>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</si>
  <si>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</si>
  <si>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</si>
  <si>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</si>
  <si>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</si>
  <si>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</si>
  <si>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</si>
  <si>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</si>
  <si>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</si>
  <si>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</si>
  <si>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</si>
  <si>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</si>
  <si>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</si>
  <si>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</si>
  <si>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</si>
  <si>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</si>
  <si>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</si>
  <si>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</si>
  <si>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</si>
  <si>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</si>
  <si>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</si>
  <si>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</si>
  <si>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</si>
  <si>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</si>
  <si>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</si>
  <si>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</si>
  <si>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</si>
  <si>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</si>
  <si>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</si>
  <si>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</si>
  <si>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Both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</si>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</sst>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3">
        <s v="Web"/>
        <s v="Store"/>
        <s v="Both" f="1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  <calculatedItems count="1">
    <calculatedItem formula="Channel[Store]+Channel[Web]">
      <pivotArea cacheIndex="1" outline="0" fieldPosition="0">
        <references count="1">
          <reference field="2" count="1">
            <x v="2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4">
        <item x="1"/>
        <item x="0"/>
        <item f="1" x="2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6:E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  <c r="E7" t="s">
        <v>59</v>
      </c>
    </row>
    <row r="8">
      <c r="A8" t="s">
        <v>42</v>
      </c>
      <c r="B8">
        <v>275</v>
      </c>
      <c r="D8">
        <v>275</v>
      </c>
      <c r="E8">
        <v>550</v>
      </c>
    </row>
    <row r="9">
      <c r="A9" t="s">
        <v>37</v>
      </c>
      <c r="C9">
        <v>845</v>
      </c>
      <c r="D9">
        <v>845</v>
      </c>
      <c r="E9">
        <v>1690</v>
      </c>
    </row>
    <row r="10">
      <c r="A10" t="s">
        <v>40</v>
      </c>
      <c r="C10">
        <v>345</v>
      </c>
      <c r="D10">
        <v>345</v>
      </c>
      <c r="E10">
        <v>690</v>
      </c>
    </row>
    <row r="11">
      <c r="A11" t="s">
        <v>45</v>
      </c>
      <c r="B11">
        <v>228</v>
      </c>
      <c r="D11">
        <v>228</v>
      </c>
      <c r="E11">
        <v>456</v>
      </c>
    </row>
    <row r="12">
      <c r="A12" t="s">
        <v>60</v>
      </c>
      <c r="C12">
        <v>150</v>
      </c>
      <c r="D12">
        <v>150</v>
      </c>
      <c r="E12">
        <v>300</v>
      </c>
    </row>
    <row r="13">
      <c r="A13" t="s">
        <v>59</v>
      </c>
      <c r="B13">
        <v>503</v>
      </c>
      <c r="C13">
        <v>1340</v>
      </c>
      <c r="D13">
        <v>1843</v>
      </c>
      <c r="E13">
        <v>3686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